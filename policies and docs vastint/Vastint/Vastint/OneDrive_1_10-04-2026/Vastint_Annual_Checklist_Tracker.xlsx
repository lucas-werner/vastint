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poconsultancy.sharepoint.com/sites/DPOConsultancyB.V/Gedeelde documenten/Clients/Active/Vastint Holding/PMA 01 Auditing (Assess) Data Handling Practices/"/>
    </mc:Choice>
  </mc:AlternateContent>
  <xr:revisionPtr revIDLastSave="61" documentId="11_AA3AC8CC7C1C913087849BB859DFEE76C9AE6A42" xr6:coauthVersionLast="47" xr6:coauthVersionMax="47" xr10:uidLastSave="{F307C372-0789-4B56-A7FE-5AA1F2401B95}"/>
  <bookViews>
    <workbookView xWindow="-120" yWindow="-120" windowWidth="29040" windowHeight="15720" firstSheet="1" activeTab="1" xr2:uid="{00000000-000D-0000-FFFF-FFFF00000000}"/>
  </bookViews>
  <sheets>
    <sheet name="Checklist Tracker - 2026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5" i="1"/>
  <c r="H5" i="1"/>
  <c r="G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H2" i="1"/>
  <c r="B8" i="2"/>
  <c r="B7" i="2"/>
  <c r="B6" i="2"/>
  <c r="B5" i="2"/>
  <c r="B4" i="2"/>
  <c r="E4" i="2" l="1"/>
  <c r="E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tc={9EC0485E-9652-4062-86E6-51B35A7A4B5F}</author>
  </authors>
  <commentList>
    <comment ref="A1" authorId="0" shapeId="0" xr:uid="{9EC0485E-9652-4062-86E6-51B35A7A4B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@Anna Hägg At the moment, I only got one response. I'll follow up again today one last time and if we don't get an answer, we should escalate.
</t>
      </text>
    </comment>
  </commentList>
</comments>
</file>

<file path=xl/sharedStrings.xml><?xml version="1.0" encoding="utf-8"?>
<sst xmlns="http://schemas.openxmlformats.org/spreadsheetml/2006/main" count="72" uniqueCount="61">
  <si>
    <t>Annual Checklist Completion Tracker (Vastint)</t>
  </si>
  <si>
    <t>Checklist year</t>
  </si>
  <si>
    <t>Overdue after (days)</t>
  </si>
  <si>
    <t>Last updated</t>
  </si>
  <si>
    <t>Company / Entity</t>
  </si>
  <si>
    <t>Owner</t>
  </si>
  <si>
    <t>Email</t>
  </si>
  <si>
    <t>Sent date</t>
  </si>
  <si>
    <t>Status</t>
  </si>
  <si>
    <t>Completion date</t>
  </si>
  <si>
    <t>Days open</t>
  </si>
  <si>
    <t>Overdue?</t>
  </si>
  <si>
    <t>Evidence / link</t>
  </si>
  <si>
    <t>Notes</t>
  </si>
  <si>
    <t>Vastint Belgium S.A.</t>
  </si>
  <si>
    <t>David Toury</t>
  </si>
  <si>
    <t>david.toury@vastint.eu</t>
  </si>
  <si>
    <t>Not started</t>
  </si>
  <si>
    <t>Vastint France SAS</t>
  </si>
  <si>
    <t>Gwendal Le Metour</t>
  </si>
  <si>
    <t>gwendal.lemetour@vastint.eu</t>
  </si>
  <si>
    <t>Completed</t>
  </si>
  <si>
    <t>[FR] Privacy Champions - Annual_Review_Checklist.xlsx</t>
  </si>
  <si>
    <t>Verified by Lucas Noronha.</t>
  </si>
  <si>
    <t>Vastint Germany Gmbh / Vastint Germany Services**</t>
  </si>
  <si>
    <t>Shu Loon Teh</t>
  </si>
  <si>
    <t>shuloon.teh@vastint.eu</t>
  </si>
  <si>
    <t>https://vastint.sharepoint.com/:x:/r/sites/PrivacyChampions-VastintGermany/Shared%20Documents/Vastint%20Germany/Assessments%20%26%20Reports/%5BDE%5D%20Privacy%20Champions%20-%20Annual_Review_Checklist.xlsx?d=w23e7a6b30594404582d82121023710f2&amp;csf=1&amp;web=1&amp;e=X3PFcL</t>
  </si>
  <si>
    <t>Vastint Latvia</t>
  </si>
  <si>
    <t>Romans Astahovs</t>
  </si>
  <si>
    <t>romans.astahovs@vastint.eu</t>
  </si>
  <si>
    <t>https://vastint.sharepoint.com/:x:/r/sites/PrivacyChampions-VastintLatvia/Shared%20Documents/Vastint%20Latvia/Assessments%20%26%20Reports/GDPR%20Annual_Review_Checklist%20LATVIA%202026-02-20.xlsx?d=w89e9e91b1bad4b02b2c4088d9da155c2&amp;csf=1&amp;web=1&amp;e=Mh91gM</t>
  </si>
  <si>
    <t>Vastint Lithuania UAB</t>
  </si>
  <si>
    <t>Adomas Gervė</t>
  </si>
  <si>
    <t>adomas.gerve@vastint.eu</t>
  </si>
  <si>
    <t>https://vastint.sharepoint.com/:x:/r/sites/PrivacyChampions-VastintLithuania/Shared%20Documents/Vastint%20Lithuania/Assessments%20%26%20Reports/%5BLI%5D%20Privacy%20Champions%20-%20Annual_Review_Checklist-2025%2012%2031.xlsx?d=wbabddd11b3c04293b03fb552bbcd6131&amp;csf=1&amp;web=1&amp;e=ufnkpm</t>
  </si>
  <si>
    <t>Vatint Netherlands</t>
  </si>
  <si>
    <t>Sita Huizinga</t>
  </si>
  <si>
    <t>sita.huizinga@vastint.eu</t>
  </si>
  <si>
    <t>https://vastint.sharepoint.com/:x:/r/sites/PrivacyChampions-VastintNetherlands/Shared%20Documents/Vastint%20Netherlands/Assessment%20%26%20Reports/2026%20VNL%20Privacy%20Champion%20-%20Annual_Review_Checklist.xlsx?d=w41814f7f53804a33be318dd5c967ed4c&amp;csf=1&amp;web=1&amp;e=g0X1w1</t>
  </si>
  <si>
    <t>Vastint Poland Sp. z o. o.</t>
  </si>
  <si>
    <t>Agnieszka Mikosik</t>
  </si>
  <si>
    <t>agnieszka.mikosik@vastint.eu</t>
  </si>
  <si>
    <t>https://vastint.sharepoint.com/:x:/r/sites/PrivacyChampions-VastintPoland/Shared%20Documents/Vastint%20Poland/Assessments%20%26%20Reports/Privacy%20Champions%20-%20Annual_Review_Checklist%20(2).xlsx?d=wd3782e67a1154008b362ebc5b6f773bf&amp;csf=1&amp;web=1&amp;e=zmZ81M</t>
  </si>
  <si>
    <t>Vastint Romania SRL</t>
  </si>
  <si>
    <t>Simona Fux</t>
  </si>
  <si>
    <t>simona.fux@vastint.eu</t>
  </si>
  <si>
    <t>Vastint UK BV</t>
  </si>
  <si>
    <t>Rosemary Shurlock</t>
  </si>
  <si>
    <t>rosemary.shurlock@vastint.eu</t>
  </si>
  <si>
    <t>Vastint Italy</t>
  </si>
  <si>
    <t>Stefano Carli</t>
  </si>
  <si>
    <t>stefano.carli@vastint.eu</t>
  </si>
  <si>
    <t>https://vastint.sharepoint.com/:x:/r/sites/PrivacyChampions-VastintItaly/Shared%20Documents/Vastint%20Italy/Assessments%20%26%20Reports/%5BIT%5D%20Privacy%20Champions%20-%20Annual_Review_Checklist.xlsx?d=w94bc43722110437190e7167c2e161561&amp;csf=1&amp;web=1&amp;e=bgRbF6</t>
  </si>
  <si>
    <t>Dashboard</t>
  </si>
  <si>
    <t>Count</t>
  </si>
  <si>
    <t>Completion rate</t>
  </si>
  <si>
    <t>Overdue items</t>
  </si>
  <si>
    <t>In progress</t>
  </si>
  <si>
    <t>N/A</t>
  </si>
  <si>
    <t>Total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</si>
</sst>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0000FF"/>
      <name val="Calibri"/>
    </font>
    <font>
      <b/>
      <sz val="11"/>
      <color rgb="FF1F4E79"/>
      <name val="Calibri"/>
    </font>
    <font>
      <i/>
      <sz val="11"/>
      <color rgb="FF595959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1" applyAlignment="1">
      <alignment vertical="center" wrapText="1"/>
    </xf>
    <xf numFmtId="0" fontId="6" fillId="0" borderId="1" xfId="1" applyBorder="1" applyAlignment="1">
      <alignment vertical="top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4">
    <dxf>
      <alignment wrapText="1"/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nl-NL"/>
              <a:t>Entities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ln/>
          </c:spPr>
          <c:invertIfNegative val="1"/>
          <c:cat>
            <c:strRef>
              <c:f>Dashboard!$A$4:$A$7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N/A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8-425E-8167-B137A4753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ocumenttasks/documenttask1.xml><?xml version="1.0" encoding="utf-8"?>
<Tasks xmlns="http://schemas.microsoft.com/office/tasks/2019/documenttasks">
  <Task id="{4D978F21-DFF7-4591-98CF-56D7F0579A9F}">
    <Anchor>
      <Comment id="{9EC0485E-9652-4062-86E6-51B35A7A4B5F}"/>
    </Anchor>
    <History>
      <Event time="2026-03-26T11:10:34.23" id="{627B9258-6D56-4CD9-BE45-5779B0019D45}">
        <Attribution userId="S::lucas.noronha@vastint.eu::fee10128-68a5-4798-9087-a3beb72301ba" userName="Lucas Noronha" userProvider="AD"/>
        <Anchor>
          <Comment id="{9EC0485E-9652-4062-86E6-51B35A7A4B5F}"/>
        </Anchor>
        <Create/>
      </Event>
      <Event time="2026-03-26T11:10:34.23" id="{F53E40F6-080D-484B-9791-E575407B14D2}">
        <Attribution userId="S::lucas.noronha@vastint.eu::fee10128-68a5-4798-9087-a3beb72301ba" userName="Lucas Noronha" userProvider="AD"/>
        <Anchor>
          <Comment id="{9EC0485E-9652-4062-86E6-51B35A7A4B5F}"/>
        </Anchor>
        <Assign userId="S::anna.haegg@vastint.eu::35de61e6-1b0f-455c-9543-43034a5f1acb" userName="Anna Hägg" userProvider="AD"/>
      </Event>
      <Event time="2026-03-26T11:10:34.23" id="{986EBE77-C783-4F5E-9F18-071FDBF3C49B}">
        <Attribution userId="S::lucas.noronha@vastint.eu::fee10128-68a5-4798-9087-a3beb72301ba" userName="Lucas Noronha" userProvider="AD"/>
        <Anchor>
          <Comment id="{9EC0485E-9652-4062-86E6-51B35A7A4B5F}"/>
        </Anchor>
        <SetTitle title="@Anna Hägg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na Hägg" id="{BB98DE3C-5A3A-44D4-BAC8-99F6E8CCDE8E}" userId="anna.haegg@vastint.eu" providerId="PeoplePicker"/>
  <person displayName="Lucas Noronha" id="{D74C0687-4316-4ECA-96B7-38367EE07568}" userId="S::lucas.noronha@vastint.eu::fee10128-68a5-4798-9087-a3beb72301b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Table" displayName="ChecklistTable" ref="A4:J14">
  <autoFilter ref="A4:J14" xr:uid="{00000000-0009-0000-0100-000001000000}"/>
  <tableColumns count="10">
    <tableColumn id="1" xr3:uid="{00000000-0010-0000-0000-000001000000}" name="Company / Entity"/>
    <tableColumn id="2" xr3:uid="{00000000-0010-0000-0000-000002000000}" name="Owner"/>
    <tableColumn id="3" xr3:uid="{00000000-0010-0000-0000-000003000000}" name="Email"/>
    <tableColumn id="4" xr3:uid="{00000000-0010-0000-0000-000004000000}" name="Sent date"/>
    <tableColumn id="5" xr3:uid="{00000000-0010-0000-0000-000005000000}" name="Status"/>
    <tableColumn id="6" xr3:uid="{00000000-0010-0000-0000-000006000000}" name="Completion date"/>
    <tableColumn id="7" xr3:uid="{00000000-0010-0000-0000-000007000000}" name="Days open"/>
    <tableColumn id="8" xr3:uid="{00000000-0010-0000-0000-000008000000}" name="Overdue?"/>
    <tableColumn id="9" xr3:uid="{00000000-0010-0000-0000-000009000000}" name="Evidence / link" dataDxfId="0"/>
    <tableColumn id="10" xr3:uid="{00000000-0010-0000-0000-00000A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26T11:10:35.43" personId="{D74C0687-4316-4ECA-96B7-38367EE07568}" id="{9EC0485E-9652-4062-86E6-51B35A7A4B5F}">
    <text xml:space="preserve">@Anna Hägg At the moment, I only got one response. I'll follow up again today one last time and if we don't get an answer, we should escalate.
</text>
    <mentions>
      <mention mentionpersonId="{BB98DE3C-5A3A-44D4-BAC8-99F6E8CCDE8E}" mentionId="{11A1A4F4-D7A7-48A4-B64F-BB4EE2AA1D05}" startIndex="0" length="10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vastint.sharepoint.com/:x:/r/sites/PrivacyChampions-VastintItaly/Shared%20Documents/Vastint%20Italy/Assessments%20%26%20Reports/%5BIT%5D%20Privacy%20Champions%20-%20Annual_Review_Checklist.xlsx?d=w94bc43722110437190e7167c2e161561&amp;csf=1&amp;web=1&amp;e=bgRbF6" TargetMode="External"/><Relationship Id="rId7" Type="http://schemas.openxmlformats.org/officeDocument/2006/relationships/hyperlink" Target="https://vastint.sharepoint.com/:x:/r/sites/PrivacyChampions-VastintPoland/Shared%20Documents/Vastint%20Poland/Assessments%20%26%20Reports/Privacy%20Champions%20-%20Annual_Review_Checklist%20(2).xlsx?d=wd3782e67a1154008b362ebc5b6f773bf&amp;csf=1&amp;web=1&amp;e=zmZ81M" TargetMode="External"/><Relationship Id="rId12" Type="http://schemas.microsoft.com/office/2019/04/relationships/documenttask" Target="../documenttasks/documenttask1.xml"/><Relationship Id="rId2" Type="http://schemas.openxmlformats.org/officeDocument/2006/relationships/hyperlink" Target="https://vastint.sharepoint.com/:x:/r/sites/PrivacyChampions-VastintGermany/Shared%20Documents/Vastint%20Germany/Assessments%20%26%20Reports/%5BDE%5D%20Privacy%20Champions%20-%20Annual_Review_Checklist.xlsx?d=w23e7a6b30594404582d82121023710f2&amp;csf=1&amp;web=1&amp;e=X3PFcL" TargetMode="External"/><Relationship Id="rId1" Type="http://schemas.openxmlformats.org/officeDocument/2006/relationships/hyperlink" Target="https://vastint.sharepoint.com/:x:/r/sites/PrivacyChampions-VastintFrance/Shared%20Documents/Vastint%20France/Assessments%20%26%20Reports/%5BFR%5D%20Privacy%20Champions%20-%20Annual_Review_Checklist.xlsx?d=wf38d17b40ccc465cb465b19718ee32b5&amp;csf=1&amp;web=1&amp;e=J4AM2F" TargetMode="External"/><Relationship Id="rId6" Type="http://schemas.openxmlformats.org/officeDocument/2006/relationships/hyperlink" Target="https://vastint.sharepoint.com/:x:/r/sites/PrivacyChampions-VastintNetherlands/Shared%20Documents/Vastint%20Netherlands/Assessment%20%26%20Reports/2026%20VNL%20Privacy%20Champion%20-%20Annual_Review_Checklist.xlsx?d=w41814f7f53804a33be318dd5c967ed4c&amp;csf=1&amp;web=1&amp;e=g0X1w1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vastint.sharepoint.com/:x:/r/sites/PrivacyChampions-VastintLithuania/Shared%20Documents/Vastint%20Lithuania/Assessments%20%26%20Reports/%5BLI%5D%20Privacy%20Champions%20-%20Annual_Review_Checklist-2025%2012%2031.xlsx?d=wbabddd11b3c04293b03fb552bbcd6131&amp;csf=1&amp;web=1&amp;e=ufnkpm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vastint.sharepoint.com/:x:/r/sites/PrivacyChampions-VastintLatvia/Shared%20Documents/Vastint%20Latvia/Assessments%20%26%20Reports/GDPR%20Annual_Review_Checklist%20LATVIA%202026-02-20.xlsx?d=w89e9e91b1bad4b02b2c4088d9da155c2&amp;csf=1&amp;web=1&amp;e=Mh91gM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H23" sqref="H23"/>
    </sheetView>
  </sheetViews>
  <sheetFormatPr defaultRowHeight="15"/>
  <cols>
    <col min="1" max="1" width="34" customWidth="1"/>
    <col min="2" max="2" width="20" customWidth="1"/>
    <col min="3" max="3" width="28" customWidth="1"/>
    <col min="4" max="4" width="24.42578125" customWidth="1"/>
    <col min="5" max="6" width="14" customWidth="1"/>
    <col min="7" max="7" width="13.42578125" customWidth="1"/>
    <col min="8" max="8" width="15.140625" customWidth="1"/>
    <col min="9" max="9" width="26" style="16" customWidth="1"/>
    <col min="10" max="10" width="26" customWidth="1"/>
  </cols>
  <sheetData>
    <row r="1" spans="1:10" ht="27.95" customHeight="1">
      <c r="A1" s="17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1" t="s">
        <v>1</v>
      </c>
      <c r="B2" s="2">
        <v>2026</v>
      </c>
      <c r="D2" s="1" t="s">
        <v>2</v>
      </c>
      <c r="E2" s="2">
        <v>30</v>
      </c>
      <c r="G2" s="1" t="s">
        <v>3</v>
      </c>
      <c r="H2" s="15">
        <f ca="1">TODAY()</f>
        <v>46121</v>
      </c>
    </row>
    <row r="4" spans="1:10" ht="33.950000000000003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spans="1:10" ht="18" customHeight="1">
      <c r="A5" s="4" t="s">
        <v>14</v>
      </c>
      <c r="B5" s="4" t="s">
        <v>15</v>
      </c>
      <c r="C5" s="4" t="s">
        <v>16</v>
      </c>
      <c r="D5" s="14">
        <v>46000</v>
      </c>
      <c r="E5" s="6" t="s">
        <v>17</v>
      </c>
      <c r="F5" s="5"/>
      <c r="G5" s="7">
        <f t="shared" ref="G5:G14" ca="1" si="0">IF(D5="","",IF(E5="Completed",IF(F5="","",(F5-D5)),(TODAY()-D5)))</f>
        <v>121</v>
      </c>
      <c r="H5" s="8" t="str">
        <f t="shared" ref="H5:H14" ca="1" si="1">IF(AND(D5&lt;&gt;"",E5&lt;&gt;"Completed",E5&lt;&gt;"N/A",(TODAY()-D5)&gt;$E$2),"OVERDUE","")</f>
        <v>OVERDUE</v>
      </c>
      <c r="I5" s="4"/>
      <c r="J5" s="4"/>
    </row>
    <row r="6" spans="1:10" ht="18" customHeight="1">
      <c r="A6" s="4" t="s">
        <v>18</v>
      </c>
      <c r="B6" s="4" t="s">
        <v>19</v>
      </c>
      <c r="C6" s="4" t="s">
        <v>20</v>
      </c>
      <c r="D6" s="14">
        <v>46000</v>
      </c>
      <c r="E6" s="6" t="s">
        <v>21</v>
      </c>
      <c r="F6" s="5">
        <v>46083</v>
      </c>
      <c r="G6" s="7">
        <f t="shared" ca="1" si="0"/>
        <v>83</v>
      </c>
      <c r="H6" s="8" t="str">
        <f ca="1">IF(AND(D6&lt;&gt;"",E6&lt;&gt;"Completed",E6&lt;&gt;"N/A",(TODAY()-D6)&gt;$E$2),"OVERDUE","")</f>
        <v/>
      </c>
      <c r="I6" s="19" t="s">
        <v>22</v>
      </c>
      <c r="J6" s="4" t="s">
        <v>23</v>
      </c>
    </row>
    <row r="7" spans="1:10" ht="30" customHeight="1">
      <c r="A7" s="4" t="s">
        <v>24</v>
      </c>
      <c r="B7" s="4" t="s">
        <v>25</v>
      </c>
      <c r="C7" s="4" t="s">
        <v>26</v>
      </c>
      <c r="D7" s="14">
        <v>46000</v>
      </c>
      <c r="E7" s="6" t="s">
        <v>21</v>
      </c>
      <c r="F7" s="5">
        <v>46108</v>
      </c>
      <c r="G7" s="7">
        <f t="shared" ca="1" si="0"/>
        <v>108</v>
      </c>
      <c r="H7" s="8" t="str">
        <f t="shared" ca="1" si="1"/>
        <v/>
      </c>
      <c r="I7" s="20" t="s">
        <v>27</v>
      </c>
      <c r="J7" s="4"/>
    </row>
    <row r="8" spans="1:10" ht="18" customHeight="1">
      <c r="A8" s="4" t="s">
        <v>28</v>
      </c>
      <c r="B8" s="4" t="s">
        <v>29</v>
      </c>
      <c r="C8" s="4" t="s">
        <v>30</v>
      </c>
      <c r="D8" s="14">
        <v>46000</v>
      </c>
      <c r="E8" s="6" t="s">
        <v>21</v>
      </c>
      <c r="F8" s="5">
        <v>46073</v>
      </c>
      <c r="G8" s="7">
        <f t="shared" ca="1" si="0"/>
        <v>73</v>
      </c>
      <c r="H8" s="8" t="str">
        <f t="shared" ca="1" si="1"/>
        <v/>
      </c>
      <c r="I8" s="20" t="s">
        <v>31</v>
      </c>
      <c r="J8" s="4"/>
    </row>
    <row r="9" spans="1:10" ht="18" customHeight="1">
      <c r="A9" s="4" t="s">
        <v>32</v>
      </c>
      <c r="B9" s="4" t="s">
        <v>33</v>
      </c>
      <c r="C9" s="4" t="s">
        <v>34</v>
      </c>
      <c r="D9" s="14">
        <v>46000</v>
      </c>
      <c r="E9" s="6" t="s">
        <v>21</v>
      </c>
      <c r="F9" s="5">
        <v>46119</v>
      </c>
      <c r="G9" s="7">
        <f t="shared" ca="1" si="0"/>
        <v>119</v>
      </c>
      <c r="H9" s="8" t="str">
        <f t="shared" ca="1" si="1"/>
        <v/>
      </c>
      <c r="I9" s="20" t="s">
        <v>35</v>
      </c>
      <c r="J9" s="4"/>
    </row>
    <row r="10" spans="1:10" ht="18" customHeight="1">
      <c r="A10" s="4" t="s">
        <v>36</v>
      </c>
      <c r="B10" s="4" t="s">
        <v>37</v>
      </c>
      <c r="C10" s="4" t="s">
        <v>38</v>
      </c>
      <c r="D10" s="14">
        <v>46000</v>
      </c>
      <c r="E10" s="6" t="s">
        <v>21</v>
      </c>
      <c r="F10" s="5">
        <v>46108</v>
      </c>
      <c r="G10" s="7">
        <f t="shared" ca="1" si="0"/>
        <v>108</v>
      </c>
      <c r="H10" s="8" t="str">
        <f t="shared" ca="1" si="1"/>
        <v/>
      </c>
      <c r="I10" s="20" t="s">
        <v>39</v>
      </c>
      <c r="J10" s="4"/>
    </row>
    <row r="11" spans="1:10" ht="18" customHeight="1">
      <c r="A11" s="4" t="s">
        <v>40</v>
      </c>
      <c r="B11" s="4" t="s">
        <v>41</v>
      </c>
      <c r="C11" s="4" t="s">
        <v>42</v>
      </c>
      <c r="D11" s="14">
        <v>46000</v>
      </c>
      <c r="E11" s="6" t="s">
        <v>21</v>
      </c>
      <c r="F11" s="5">
        <v>46115</v>
      </c>
      <c r="G11" s="7">
        <f t="shared" ca="1" si="0"/>
        <v>115</v>
      </c>
      <c r="H11" s="8" t="str">
        <f t="shared" ca="1" si="1"/>
        <v/>
      </c>
      <c r="I11" s="20" t="s">
        <v>43</v>
      </c>
      <c r="J11" s="4"/>
    </row>
    <row r="12" spans="1:10" ht="18" customHeight="1">
      <c r="A12" s="4" t="s">
        <v>44</v>
      </c>
      <c r="B12" s="4" t="s">
        <v>45</v>
      </c>
      <c r="C12" s="4" t="s">
        <v>46</v>
      </c>
      <c r="D12" s="14">
        <v>46000</v>
      </c>
      <c r="E12" s="6" t="s">
        <v>17</v>
      </c>
      <c r="F12" s="5"/>
      <c r="G12" s="7">
        <f t="shared" ca="1" si="0"/>
        <v>121</v>
      </c>
      <c r="H12" s="8" t="str">
        <f t="shared" ca="1" si="1"/>
        <v>OVERDUE</v>
      </c>
      <c r="I12" s="4"/>
      <c r="J12" s="4"/>
    </row>
    <row r="13" spans="1:10" ht="18" customHeight="1">
      <c r="A13" s="4" t="s">
        <v>47</v>
      </c>
      <c r="B13" s="4" t="s">
        <v>48</v>
      </c>
      <c r="C13" s="4" t="s">
        <v>49</v>
      </c>
      <c r="D13" s="14">
        <v>46000</v>
      </c>
      <c r="E13" s="6" t="s">
        <v>17</v>
      </c>
      <c r="F13" s="5"/>
      <c r="G13" s="7">
        <f t="shared" ca="1" si="0"/>
        <v>121</v>
      </c>
      <c r="H13" s="8" t="str">
        <f t="shared" ca="1" si="1"/>
        <v>OVERDUE</v>
      </c>
      <c r="I13" s="4"/>
      <c r="J13" s="4"/>
    </row>
    <row r="14" spans="1:10" ht="18" customHeight="1">
      <c r="A14" s="4" t="s">
        <v>50</v>
      </c>
      <c r="B14" s="4" t="s">
        <v>51</v>
      </c>
      <c r="C14" s="4" t="s">
        <v>52</v>
      </c>
      <c r="D14" s="14">
        <v>46000</v>
      </c>
      <c r="E14" s="6" t="s">
        <v>21</v>
      </c>
      <c r="F14" s="5">
        <v>46117</v>
      </c>
      <c r="G14" s="7">
        <f t="shared" ca="1" si="0"/>
        <v>117</v>
      </c>
      <c r="H14" s="8" t="str">
        <f t="shared" ca="1" si="1"/>
        <v/>
      </c>
      <c r="I14" s="20" t="s">
        <v>53</v>
      </c>
      <c r="J14" s="4"/>
    </row>
    <row r="16" spans="1:10" ht="18" customHeight="1">
      <c r="A16" s="18"/>
      <c r="B16" s="21"/>
      <c r="C16" s="21"/>
      <c r="D16" s="21"/>
      <c r="E16" s="21"/>
      <c r="F16" s="21"/>
      <c r="G16" s="21"/>
      <c r="H16" s="21"/>
      <c r="I16" s="21"/>
      <c r="J16" s="21"/>
    </row>
  </sheetData>
  <mergeCells count="2">
    <mergeCell ref="A1:J1"/>
    <mergeCell ref="A16:J16"/>
  </mergeCells>
  <conditionalFormatting sqref="A5:J5 A6:H6 J6 A7:J14">
    <cfRule type="expression" dxfId="3" priority="1">
      <formula>$E5="Completed"</formula>
    </cfRule>
    <cfRule type="expression" dxfId="2" priority="2">
      <formula>$E5="N/A"</formula>
    </cfRule>
    <cfRule type="expression" dxfId="1" priority="3">
      <formula>$H5="OVERDUE"</formula>
    </cfRule>
  </conditionalFormatting>
  <hyperlinks>
    <hyperlink ref="I6" r:id="rId1" xr:uid="{9FCB6A2C-8B9C-455F-B59A-9C9E93D016AE}"/>
    <hyperlink ref="I7" r:id="rId2" display="https://vastint.sharepoint.com/:x:/r/sites/PrivacyChampions-VastintGermany/Shared%20Documents/Vastint%20Germany/Assessments%20%26%20Reports/%5BDE%5D%20Privacy%20Champions%20-%20Annual_Review_Checklist.xlsx?d=w23e7a6b30594404582d82121023710f2&amp;csf=1&amp;web=1&amp;e=X3PFcL" xr:uid="{A37A55F9-DF5D-427E-B8E5-03D4CB3FE792}"/>
    <hyperlink ref="I14" r:id="rId3" display="https://vastint.sharepoint.com/:x:/r/sites/PrivacyChampions-VastintItaly/Shared%20Documents/Vastint%20Italy/Assessments%20%26%20Reports/%5BIT%5D%20Privacy%20Champions%20-%20Annual_Review_Checklist.xlsx?d=w94bc43722110437190e7167c2e161561&amp;csf=1&amp;web=1&amp;e=bgRbF6" xr:uid="{4D16D69E-7255-425E-9C34-CBCA0A9ED624}"/>
    <hyperlink ref="I8" r:id="rId4" xr:uid="{526C9D0F-1353-42A4-95CE-A3989E447345}"/>
    <hyperlink ref="I9" r:id="rId5" display="https://vastint.sharepoint.com/:x:/r/sites/PrivacyChampions-VastintLithuania/Shared%20Documents/Vastint%20Lithuania/Assessments%20%26%20Reports/%5BLI%5D%20Privacy%20Champions%20-%20Annual_Review_Checklist-2025%2012%2031.xlsx?d=wbabddd11b3c04293b03fb552bbcd6131&amp;csf=1&amp;web=1&amp;e=ufnkpm" xr:uid="{0A658390-C632-4DD0-8566-54D597C802A6}"/>
    <hyperlink ref="I10" r:id="rId6" display="https://vastint.sharepoint.com/:x:/r/sites/PrivacyChampions-VastintNetherlands/Shared%20Documents/Vastint%20Netherlands/Assessment%20%26%20Reports/2026%20VNL%20Privacy%20Champion%20-%20Annual_Review_Checklist.xlsx?d=w41814f7f53804a33be318dd5c967ed4c&amp;csf=1&amp;web=1&amp;e=g0X1w1" xr:uid="{0FA26D08-9A61-41A2-B1DF-D31680A71706}"/>
    <hyperlink ref="I11" r:id="rId7" xr:uid="{363F4886-71B7-4563-B252-76692042188E}"/>
  </hyperlinks>
  <pageMargins left="0.7" right="0.7" top="0.75" bottom="0.75" header="0.3" footer="0.3"/>
  <legacyDrawing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D19" sqref="D19"/>
    </sheetView>
  </sheetViews>
  <sheetFormatPr defaultRowHeight="15"/>
  <cols>
    <col min="1" max="1" width="18" customWidth="1"/>
    <col min="2" max="2" width="28.28515625" customWidth="1"/>
    <col min="4" max="4" width="18" customWidth="1"/>
    <col min="5" max="5" width="16" customWidth="1"/>
  </cols>
  <sheetData>
    <row r="1" spans="1:5" ht="26.1" customHeight="1">
      <c r="A1" s="17" t="s">
        <v>54</v>
      </c>
      <c r="B1" s="21"/>
      <c r="C1" s="21"/>
      <c r="D1" s="21"/>
      <c r="E1" s="21"/>
    </row>
    <row r="3" spans="1:5">
      <c r="A3" s="9" t="s">
        <v>8</v>
      </c>
      <c r="B3" s="9" t="s">
        <v>55</v>
      </c>
      <c r="D3" s="9" t="s">
        <v>56</v>
      </c>
      <c r="E3" s="10">
        <f>IF(B8- B7=0,0,B6/(B8-B7))</f>
        <v>0.7</v>
      </c>
    </row>
    <row r="4" spans="1:5">
      <c r="A4" s="11" t="s">
        <v>17</v>
      </c>
      <c r="B4" s="8">
        <f>COUNTIF('Checklist Tracker - 2026'!$E$5:$E$14,"Not started")</f>
        <v>3</v>
      </c>
      <c r="D4" s="9" t="s">
        <v>57</v>
      </c>
      <c r="E4" s="8">
        <f ca="1">COUNTIF('Checklist Tracker - 2026'!$H$5:$H$14,"OVERDUE")</f>
        <v>3</v>
      </c>
    </row>
    <row r="5" spans="1:5">
      <c r="A5" s="11" t="s">
        <v>58</v>
      </c>
      <c r="B5" s="8">
        <f>COUNTIF('Checklist Tracker - 2026'!$E$5:$E$14,"In progress")</f>
        <v>0</v>
      </c>
    </row>
    <row r="6" spans="1:5">
      <c r="A6" s="11" t="s">
        <v>21</v>
      </c>
      <c r="B6" s="8">
        <f>COUNTIF('Checklist Tracker - 2026'!$E$5:$E$14,"Completed")</f>
        <v>7</v>
      </c>
    </row>
    <row r="7" spans="1:5">
      <c r="A7" s="11" t="s">
        <v>59</v>
      </c>
      <c r="B7" s="8">
        <f>COUNTIF('Checklist Tracker - 2026'!$E$5:$E$14,"N/A")</f>
        <v>0</v>
      </c>
    </row>
    <row r="8" spans="1:5">
      <c r="A8" s="12" t="s">
        <v>60</v>
      </c>
      <c r="B8" s="13">
        <f>COUNTA('Checklist Tracker - 2026'!$A$5:$A$14)</f>
        <v>10</v>
      </c>
    </row>
    <row r="10" spans="1:5" ht="150" customHeight="1"/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33bbc-c9b9-461a-bddc-8793d61ede17">
      <Terms xmlns="http://schemas.microsoft.com/office/infopath/2007/PartnerControls"/>
    </lcf76f155ced4ddcb4097134ff3c332f>
    <TaxCatchAll xmlns="a68c2ab8-687f-43ad-9525-e738ea7498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6D73FD17B804DAACB6576BAF5AE2E" ma:contentTypeVersion="11" ma:contentTypeDescription="Create a new document." ma:contentTypeScope="" ma:versionID="d7d3091197405ee75857377968c35f52">
  <xsd:schema xmlns:xsd="http://www.w3.org/2001/XMLSchema" xmlns:xs="http://www.w3.org/2001/XMLSchema" xmlns:p="http://schemas.microsoft.com/office/2006/metadata/properties" xmlns:ns2="9e833bbc-c9b9-461a-bddc-8793d61ede17" xmlns:ns3="a68c2ab8-687f-43ad-9525-e738ea74987e" targetNamespace="http://schemas.microsoft.com/office/2006/metadata/properties" ma:root="true" ma:fieldsID="83d140483223854833a53a3006223918" ns2:_="" ns3:_="">
    <xsd:import namespace="9e833bbc-c9b9-461a-bddc-8793d61ede17"/>
    <xsd:import namespace="a68c2ab8-687f-43ad-9525-e738ea749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33bbc-c9b9-461a-bddc-8793d61ed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2ab8-687f-43ad-9525-e738ea7498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97424-82a0-44e3-b2a8-d41b68bc9d3c}" ma:internalName="TaxCatchAll" ma:showField="CatchAllData" ma:web="a68c2ab8-687f-43ad-9525-e738ea749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24F3F2-0E0E-45DF-B44F-E814F02822C3}"/>
</file>

<file path=customXml/itemProps2.xml><?xml version="1.0" encoding="utf-8"?>
<ds:datastoreItem xmlns:ds="http://schemas.openxmlformats.org/officeDocument/2006/customXml" ds:itemID="{A6D4A337-2D3D-4ABB-9E73-D37A95979D8F}"/>
</file>

<file path=customXml/itemProps3.xml><?xml version="1.0" encoding="utf-8"?>
<ds:datastoreItem xmlns:ds="http://schemas.openxmlformats.org/officeDocument/2006/customXml" ds:itemID="{B6EE0E3A-EC57-4E9A-BB4D-0F0DA28B84AD}"/>
</file>

<file path=docMetadata/LabelInfo.xml><?xml version="1.0" encoding="utf-8"?>
<clbl:labelList xmlns:clbl="http://schemas.microsoft.com/office/2020/mipLabelMetadata">
  <clbl:label id="{5b35872d-4b9a-4173-b4d3-85be67601211}" enabled="0" method="" siteId="{5b35872d-4b9a-4173-b4d3-85be676012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Noronha</cp:lastModifiedBy>
  <cp:revision/>
  <dcterms:created xsi:type="dcterms:W3CDTF">2026-01-22T13:05:35Z</dcterms:created>
  <dcterms:modified xsi:type="dcterms:W3CDTF">2026-04-09T07:09:55Z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0x010100ECB6D73FD17B804DAACB6576BAF5AE2E</vt:lpwstr>
  </property>
  <property fmtid="{D5CDD505-2E9C-101B-9397-08002B2CF9AE}" pid="3" name="MediaServiceImageTags">
    <vt:lpwstr/>
  </property>
</Properties>
</file>